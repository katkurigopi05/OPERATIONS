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opikrishnareddykatkuri/Downloads/"/>
    </mc:Choice>
  </mc:AlternateContent>
  <xr:revisionPtr revIDLastSave="0" documentId="8_{473B7951-0F08-F142-ACBF-6190F8B7D330}" xr6:coauthVersionLast="47" xr6:coauthVersionMax="47" xr10:uidLastSave="{00000000-0000-0000-0000-000000000000}"/>
  <bookViews>
    <workbookView xWindow="0" yWindow="620" windowWidth="25620" windowHeight="26180" xr2:uid="{00000000-000D-0000-FFFF-FFFF00000000}"/>
  </bookViews>
  <sheets>
    <sheet name="Q1" sheetId="1" r:id="rId1"/>
    <sheet name="Q2" sheetId="2" r:id="rId2"/>
    <sheet name="Q3_Sensitivity" sheetId="3" r:id="rId3"/>
    <sheet name="Q4" sheetId="4" r:id="rId4"/>
  </sheets>
  <definedNames>
    <definedName name="solver_adj" localSheetId="0" hidden="1">'Q1'!$C$4:$C$8</definedName>
    <definedName name="solver_adj" localSheetId="1" hidden="1">'Q2'!$C$4:$C$8</definedName>
    <definedName name="solver_adj" localSheetId="3" hidden="1">'Q4'!$B$12:$E$15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3" hidden="1">2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lhs1" localSheetId="0" hidden="1">'Q1'!$C$4:$C$8</definedName>
    <definedName name="solver_lhs2" localSheetId="0" hidden="1">'Q1'!$C$4:$C$8</definedName>
    <definedName name="solver_lhs3" localSheetId="0" hidden="1">'Q1'!$C$9</definedName>
    <definedName name="solver_lhs4" localSheetId="0" hidden="1">'Q1'!$I$4:$I$7</definedName>
    <definedName name="solver_lin" localSheetId="0" hidden="1">1</definedName>
    <definedName name="solver_lin" localSheetId="1" hidden="1">1</definedName>
    <definedName name="solver_lin" localSheetId="3" hidden="1">1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um" localSheetId="0" hidden="1">4</definedName>
    <definedName name="solver_num" localSheetId="1" hidden="1">0</definedName>
    <definedName name="solver_num" localSheetId="3" hidden="1">0</definedName>
    <definedName name="solver_opt" localSheetId="0" hidden="1">'Q1'!$C$10</definedName>
    <definedName name="solver_opt" localSheetId="1" hidden="1">'Q2'!$B$11</definedName>
    <definedName name="solver_opt" localSheetId="3" hidden="1">'Q4'!$B$21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hs1" localSheetId="0" hidden="1">1</definedName>
    <definedName name="solver_rhs2" localSheetId="0" hidden="1">0.1</definedName>
    <definedName name="solver_rhs3" localSheetId="0" hidden="1">2</definedName>
    <definedName name="solver_rhs4" localSheetId="0" hidden="1">'Q1'!$K$4:$K$7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3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E15" i="4"/>
  <c r="D14" i="4"/>
  <c r="C13" i="4"/>
  <c r="B12" i="4"/>
  <c r="B16" i="2"/>
  <c r="B15" i="2"/>
  <c r="B14" i="2"/>
  <c r="B13" i="2"/>
  <c r="B11" i="2"/>
  <c r="D16" i="2" s="1"/>
  <c r="B10" i="2"/>
  <c r="C10" i="1"/>
  <c r="C9" i="1"/>
  <c r="D8" i="1" s="1"/>
  <c r="I7" i="1"/>
  <c r="I6" i="1"/>
  <c r="I5" i="1"/>
  <c r="I4" i="1"/>
  <c r="D4" i="1" l="1"/>
  <c r="D5" i="1"/>
  <c r="D6" i="1"/>
  <c r="D7" i="1"/>
</calcChain>
</file>

<file path=xl/sharedStrings.xml><?xml version="1.0" encoding="utf-8"?>
<sst xmlns="http://schemas.openxmlformats.org/spreadsheetml/2006/main" count="91" uniqueCount="75">
  <si>
    <t>Trail Mix LP – Spreadsheet Model</t>
  </si>
  <si>
    <t>Ingredient</t>
  </si>
  <si>
    <t>Cost/lb</t>
  </si>
  <si>
    <t>Decision lbs</t>
  </si>
  <si>
    <t>Share</t>
  </si>
  <si>
    <t>Min lbs</t>
  </si>
  <si>
    <t>Max lbs</t>
  </si>
  <si>
    <t>Constraint</t>
  </si>
  <si>
    <t>LHS</t>
  </si>
  <si>
    <t>Sense</t>
  </si>
  <si>
    <t>RHS</t>
  </si>
  <si>
    <t>Raisins</t>
  </si>
  <si>
    <t>Vitamins</t>
  </si>
  <si>
    <t>&gt;=</t>
  </si>
  <si>
    <t>Grain</t>
  </si>
  <si>
    <t>Minerals</t>
  </si>
  <si>
    <t>Chocolate</t>
  </si>
  <si>
    <t>Protein</t>
  </si>
  <si>
    <t>Peanuts</t>
  </si>
  <si>
    <t>Calories</t>
  </si>
  <si>
    <t>Almonds</t>
  </si>
  <si>
    <t>Total lbs</t>
  </si>
  <si>
    <t>Objective cost</t>
  </si>
  <si>
    <t>Solver setup (Simplex LP)</t>
  </si>
  <si>
    <t>Set Objective:</t>
  </si>
  <si>
    <t>C10 (Min)</t>
  </si>
  <si>
    <t>By Changing Variables:</t>
  </si>
  <si>
    <t>C4:C8</t>
  </si>
  <si>
    <t>Constraints:</t>
  </si>
  <si>
    <t>I4:I7 &gt;= K4:K7</t>
  </si>
  <si>
    <t>C9 = 2</t>
  </si>
  <si>
    <t>C4:C8 &gt;= 0.1</t>
  </si>
  <si>
    <t>C4:C8 &lt;= 1.0</t>
  </si>
  <si>
    <t>BN Bank – Bond Allocation</t>
  </si>
  <si>
    <t>Bond</t>
  </si>
  <si>
    <t>Return rate</t>
  </si>
  <si>
    <t>Invest ($)</t>
  </si>
  <si>
    <t>A</t>
  </si>
  <si>
    <t>B</t>
  </si>
  <si>
    <t>C</t>
  </si>
  <si>
    <t>D</t>
  </si>
  <si>
    <t>E</t>
  </si>
  <si>
    <t>Total invested</t>
  </si>
  <si>
    <t>Total return ($)</t>
  </si>
  <si>
    <t>Short-term &gt;= 50k (B,E)</t>
  </si>
  <si>
    <t>High-risk &lt;= 50k (A,D,E)</t>
  </si>
  <si>
    <t>Tax-free &gt;= 30k (A,B,D)</t>
  </si>
  <si>
    <t>Tax-free return &gt;= 40%</t>
  </si>
  <si>
    <t>&gt;= 40% of total return</t>
  </si>
  <si>
    <t>Solver (Simplex LP): Set objective B11 (Max) by changing C4:C8 with constraints above.</t>
  </si>
  <si>
    <t>Sensitivity – Problem 1</t>
  </si>
  <si>
    <t>Shadow price</t>
  </si>
  <si>
    <t>Scenario</t>
  </si>
  <si>
    <t>Cost</t>
  </si>
  <si>
    <t>x_R</t>
  </si>
  <si>
    <t>x_G</t>
  </si>
  <si>
    <t>x_C</t>
  </si>
  <si>
    <t>x_P</t>
  </si>
  <si>
    <t>x_A</t>
  </si>
  <si>
    <t>Base</t>
  </si>
  <si>
    <t>Raisin $2.60</t>
  </si>
  <si>
    <t>Peanuts $3.25</t>
  </si>
  <si>
    <t>Airfare Pairing – Cost Matrix</t>
  </si>
  <si>
    <t>Depart \ Return</t>
  </si>
  <si>
    <t>2020-03-06</t>
  </si>
  <si>
    <t>2020-03-12</t>
  </si>
  <si>
    <t>2020-03-20</t>
  </si>
  <si>
    <t>2020-03-25</t>
  </si>
  <si>
    <t>2020-03-02</t>
  </si>
  <si>
    <t>2020-03-09</t>
  </si>
  <si>
    <t>2020-03-17</t>
  </si>
  <si>
    <t>2020-03-23</t>
  </si>
  <si>
    <t>Decision Y[i,j] (1 if pair chosen)</t>
  </si>
  <si>
    <t>Total Cost</t>
  </si>
  <si>
    <t>Solver setup (Simplex LP): Minimize B20 by changing B12:E15 with row/col sum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</si>
</sst>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32" customWidth="1"/>
    <col min="2" max="26" width="16" customWidth="1"/>
  </cols>
  <sheetData>
    <row r="1" spans="1:17" x14ac:dyDescent="0.2">
      <c r="A1" t="s">
        <v>0</v>
      </c>
    </row>
    <row r="3" spans="1:17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I3" t="s">
        <v>8</v>
      </c>
      <c r="J3" t="s">
        <v>9</v>
      </c>
      <c r="K3" t="s">
        <v>10</v>
      </c>
    </row>
    <row r="4" spans="1:17" x14ac:dyDescent="0.2">
      <c r="A4" t="s">
        <v>11</v>
      </c>
      <c r="B4">
        <v>2.5</v>
      </c>
      <c r="C4">
        <v>0.74999999999999833</v>
      </c>
      <c r="D4">
        <f>C4/$C$9</f>
        <v>0.37499999999999922</v>
      </c>
      <c r="E4">
        <v>0.1</v>
      </c>
      <c r="F4">
        <v>1</v>
      </c>
      <c r="H4" t="s">
        <v>12</v>
      </c>
      <c r="I4" t="e">
        <f>SUMPRODUCT(M4:Q4,C4:C8)</f>
        <v>#VALUE!</v>
      </c>
      <c r="J4" t="s">
        <v>13</v>
      </c>
      <c r="K4">
        <v>40</v>
      </c>
      <c r="M4">
        <v>20</v>
      </c>
      <c r="N4">
        <v>10</v>
      </c>
      <c r="O4">
        <v>10</v>
      </c>
      <c r="P4">
        <v>30</v>
      </c>
      <c r="Q4">
        <v>20</v>
      </c>
    </row>
    <row r="5" spans="1:17" x14ac:dyDescent="0.2">
      <c r="A5" t="s">
        <v>14</v>
      </c>
      <c r="B5">
        <v>1.5</v>
      </c>
      <c r="C5">
        <v>0.1</v>
      </c>
      <c r="D5">
        <f>C5/$C$9</f>
        <v>5.0000000000000017E-2</v>
      </c>
      <c r="E5">
        <v>0.1</v>
      </c>
      <c r="F5">
        <v>1</v>
      </c>
      <c r="H5" t="s">
        <v>15</v>
      </c>
      <c r="I5" t="e">
        <f>SUMPRODUCT(M5:Q5,C4:C8)</f>
        <v>#VALUE!</v>
      </c>
      <c r="J5" t="s">
        <v>13</v>
      </c>
      <c r="K5">
        <v>15</v>
      </c>
      <c r="M5">
        <v>7</v>
      </c>
      <c r="N5">
        <v>4</v>
      </c>
      <c r="O5">
        <v>5</v>
      </c>
      <c r="P5">
        <v>9</v>
      </c>
      <c r="Q5">
        <v>3</v>
      </c>
    </row>
    <row r="6" spans="1:17" x14ac:dyDescent="0.2">
      <c r="A6" t="s">
        <v>16</v>
      </c>
      <c r="B6">
        <v>2</v>
      </c>
      <c r="C6">
        <v>0.1</v>
      </c>
      <c r="D6">
        <f>C6/$C$9</f>
        <v>5.0000000000000017E-2</v>
      </c>
      <c r="E6">
        <v>0.1</v>
      </c>
      <c r="F6">
        <v>1</v>
      </c>
      <c r="H6" t="s">
        <v>17</v>
      </c>
      <c r="I6" t="e">
        <f>SUMPRODUCT(M6:Q6,C4:C8)</f>
        <v>#VALUE!</v>
      </c>
      <c r="J6" t="s">
        <v>13</v>
      </c>
      <c r="K6">
        <v>10</v>
      </c>
      <c r="M6">
        <v>4</v>
      </c>
      <c r="N6">
        <v>2</v>
      </c>
      <c r="O6">
        <v>1</v>
      </c>
      <c r="P6">
        <v>10</v>
      </c>
      <c r="Q6">
        <v>1</v>
      </c>
    </row>
    <row r="7" spans="1:17" x14ac:dyDescent="0.2">
      <c r="A7" t="s">
        <v>18</v>
      </c>
      <c r="B7">
        <v>4</v>
      </c>
      <c r="C7">
        <v>0.95000000000000129</v>
      </c>
      <c r="D7">
        <f>C7/$C$9</f>
        <v>0.47500000000000075</v>
      </c>
      <c r="E7">
        <v>0.1</v>
      </c>
      <c r="F7">
        <v>1</v>
      </c>
      <c r="H7" t="s">
        <v>19</v>
      </c>
      <c r="I7" t="e">
        <f>SUMPRODUCT(M7:Q7,C4:C8)</f>
        <v>#VALUE!</v>
      </c>
      <c r="J7" t="s">
        <v>13</v>
      </c>
      <c r="K7">
        <v>600</v>
      </c>
      <c r="M7">
        <v>450</v>
      </c>
      <c r="N7">
        <v>160</v>
      </c>
      <c r="O7">
        <v>500</v>
      </c>
      <c r="P7">
        <v>300</v>
      </c>
      <c r="Q7">
        <v>480</v>
      </c>
    </row>
    <row r="8" spans="1:17" x14ac:dyDescent="0.2">
      <c r="A8" t="s">
        <v>20</v>
      </c>
      <c r="B8">
        <v>3</v>
      </c>
      <c r="C8">
        <v>0.1</v>
      </c>
      <c r="D8">
        <f>C8/$C$9</f>
        <v>5.0000000000000017E-2</v>
      </c>
      <c r="E8">
        <v>0.1</v>
      </c>
      <c r="F8">
        <v>1</v>
      </c>
    </row>
    <row r="9" spans="1:17" x14ac:dyDescent="0.2">
      <c r="B9" t="s">
        <v>21</v>
      </c>
      <c r="C9">
        <f>SUM(C4:C8)</f>
        <v>1.9999999999999996</v>
      </c>
    </row>
    <row r="10" spans="1:17" x14ac:dyDescent="0.2">
      <c r="B10" t="s">
        <v>22</v>
      </c>
      <c r="C10">
        <f>SUMPRODUCT(B4:B8,C4:C8)</f>
        <v>6.3250000000000011</v>
      </c>
    </row>
    <row r="12" spans="1:17" x14ac:dyDescent="0.2">
      <c r="A12" t="s">
        <v>23</v>
      </c>
    </row>
    <row r="13" spans="1:17" x14ac:dyDescent="0.2">
      <c r="A13" t="s">
        <v>24</v>
      </c>
      <c r="B13" t="s">
        <v>25</v>
      </c>
    </row>
    <row r="14" spans="1:17" x14ac:dyDescent="0.2">
      <c r="A14" t="s">
        <v>26</v>
      </c>
      <c r="B14" t="s">
        <v>27</v>
      </c>
    </row>
    <row r="15" spans="1:17" x14ac:dyDescent="0.2">
      <c r="A15" t="s">
        <v>28</v>
      </c>
    </row>
    <row r="16" spans="1:17" x14ac:dyDescent="0.2">
      <c r="A16" t="s">
        <v>29</v>
      </c>
    </row>
    <row r="17" spans="1:1" x14ac:dyDescent="0.2">
      <c r="A17" t="s">
        <v>30</v>
      </c>
    </row>
    <row r="18" spans="1:1" x14ac:dyDescent="0.2">
      <c r="A18" t="s">
        <v>31</v>
      </c>
    </row>
    <row r="19" spans="1:1" x14ac:dyDescent="0.2">
      <c r="A19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opLeftCell="A19" workbookViewId="0">
      <selection activeCell="C9" sqref="C9"/>
    </sheetView>
  </sheetViews>
  <sheetFormatPr baseColWidth="10" defaultColWidth="8.83203125" defaultRowHeight="15" x14ac:dyDescent="0.2"/>
  <cols>
    <col min="1" max="1" width="32" customWidth="1"/>
    <col min="2" max="26" width="16" customWidth="1"/>
  </cols>
  <sheetData>
    <row r="1" spans="1:4" x14ac:dyDescent="0.2">
      <c r="A1" t="s">
        <v>33</v>
      </c>
    </row>
    <row r="3" spans="1:4" x14ac:dyDescent="0.2">
      <c r="A3" t="s">
        <v>34</v>
      </c>
      <c r="B3" t="s">
        <v>35</v>
      </c>
      <c r="C3" t="s">
        <v>36</v>
      </c>
    </row>
    <row r="4" spans="1:4" x14ac:dyDescent="0.2">
      <c r="A4" t="s">
        <v>37</v>
      </c>
      <c r="B4">
        <v>9.5000000000000001E-2</v>
      </c>
      <c r="C4">
        <v>20338.98</v>
      </c>
    </row>
    <row r="5" spans="1:4" x14ac:dyDescent="0.2">
      <c r="A5" t="s">
        <v>38</v>
      </c>
      <c r="B5">
        <v>0.08</v>
      </c>
      <c r="C5">
        <v>20338.98</v>
      </c>
    </row>
    <row r="6" spans="1:4" x14ac:dyDescent="0.2">
      <c r="A6" t="s">
        <v>39</v>
      </c>
      <c r="B6">
        <v>0.09</v>
      </c>
      <c r="C6">
        <v>29661.02</v>
      </c>
    </row>
    <row r="7" spans="1:4" x14ac:dyDescent="0.2">
      <c r="A7" t="s">
        <v>40</v>
      </c>
      <c r="B7">
        <v>0.09</v>
      </c>
      <c r="C7">
        <v>0</v>
      </c>
    </row>
    <row r="8" spans="1:4" x14ac:dyDescent="0.2">
      <c r="A8" t="s">
        <v>41</v>
      </c>
      <c r="B8">
        <v>0.09</v>
      </c>
      <c r="C8">
        <v>29661.02</v>
      </c>
    </row>
    <row r="10" spans="1:4" x14ac:dyDescent="0.2">
      <c r="A10" t="s">
        <v>42</v>
      </c>
      <c r="B10">
        <f>SUM(C4:C8)</f>
        <v>100000</v>
      </c>
    </row>
    <row r="11" spans="1:4" x14ac:dyDescent="0.2">
      <c r="A11" t="s">
        <v>43</v>
      </c>
      <c r="B11">
        <f>SUMPRODUCT(B4:B8,C4:C8)</f>
        <v>8898.3050999999996</v>
      </c>
    </row>
    <row r="13" spans="1:4" x14ac:dyDescent="0.2">
      <c r="A13" t="s">
        <v>44</v>
      </c>
      <c r="B13">
        <f>C5+C8</f>
        <v>50000</v>
      </c>
    </row>
    <row r="14" spans="1:4" x14ac:dyDescent="0.2">
      <c r="A14" t="s">
        <v>45</v>
      </c>
      <c r="B14">
        <f>C4+C7+C8</f>
        <v>50000</v>
      </c>
    </row>
    <row r="15" spans="1:4" x14ac:dyDescent="0.2">
      <c r="A15" t="s">
        <v>46</v>
      </c>
      <c r="B15">
        <f>C4+C5+C7</f>
        <v>40677.96</v>
      </c>
    </row>
    <row r="16" spans="1:4" x14ac:dyDescent="0.2">
      <c r="A16" t="s">
        <v>47</v>
      </c>
      <c r="B16">
        <f>B4*C4+B5*C5+B7*C7</f>
        <v>3559.3215</v>
      </c>
      <c r="C16" t="s">
        <v>48</v>
      </c>
      <c r="D16">
        <f>0.4*B11</f>
        <v>3559.32204</v>
      </c>
    </row>
    <row r="18" spans="1:1" x14ac:dyDescent="0.2">
      <c r="A18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/>
  </sheetViews>
  <sheetFormatPr baseColWidth="10" defaultColWidth="8.83203125" defaultRowHeight="15" x14ac:dyDescent="0.2"/>
  <cols>
    <col min="1" max="1" width="32" customWidth="1"/>
    <col min="2" max="26" width="16" customWidth="1"/>
  </cols>
  <sheetData>
    <row r="1" spans="1:10" x14ac:dyDescent="0.2">
      <c r="A1" t="s">
        <v>50</v>
      </c>
    </row>
    <row r="3" spans="1:10" x14ac:dyDescent="0.2">
      <c r="A3" t="s">
        <v>7</v>
      </c>
      <c r="B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</row>
    <row r="4" spans="1:10" x14ac:dyDescent="0.2">
      <c r="A4" t="s">
        <v>12</v>
      </c>
      <c r="B4">
        <v>0</v>
      </c>
      <c r="D4" t="s">
        <v>59</v>
      </c>
      <c r="E4">
        <v>6.3250000000000011</v>
      </c>
      <c r="F4">
        <v>0.74999999999999833</v>
      </c>
      <c r="G4">
        <v>0.1</v>
      </c>
      <c r="H4">
        <v>0.1</v>
      </c>
      <c r="I4">
        <v>0.95000000000000129</v>
      </c>
      <c r="J4">
        <v>0.1</v>
      </c>
    </row>
    <row r="5" spans="1:10" x14ac:dyDescent="0.2">
      <c r="A5" t="s">
        <v>15</v>
      </c>
      <c r="B5">
        <v>0.75000000000000022</v>
      </c>
      <c r="D5" t="s">
        <v>60</v>
      </c>
      <c r="E5">
        <v>6.4000000000000012</v>
      </c>
      <c r="F5">
        <v>0.74999999999999833</v>
      </c>
      <c r="G5">
        <v>0.1</v>
      </c>
      <c r="H5">
        <v>0.1</v>
      </c>
      <c r="I5">
        <v>0.95000000000000129</v>
      </c>
      <c r="J5">
        <v>0.1</v>
      </c>
    </row>
    <row r="6" spans="1:10" x14ac:dyDescent="0.2">
      <c r="A6" t="s">
        <v>17</v>
      </c>
      <c r="B6">
        <v>0</v>
      </c>
      <c r="D6" t="s">
        <v>61</v>
      </c>
      <c r="E6">
        <v>5.6125000000000007</v>
      </c>
      <c r="F6">
        <v>0.74999999999999933</v>
      </c>
      <c r="G6">
        <v>0.1</v>
      </c>
      <c r="H6">
        <v>0.1</v>
      </c>
      <c r="I6">
        <v>0.95000000000000051</v>
      </c>
      <c r="J6">
        <v>0.1</v>
      </c>
    </row>
    <row r="7" spans="1:10" x14ac:dyDescent="0.2">
      <c r="A7" t="s">
        <v>19</v>
      </c>
      <c r="B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32" customWidth="1"/>
    <col min="2" max="26" width="16" customWidth="1"/>
  </cols>
  <sheetData>
    <row r="1" spans="1:5" x14ac:dyDescent="0.2">
      <c r="A1" t="s">
        <v>62</v>
      </c>
    </row>
    <row r="3" spans="1:5" x14ac:dyDescent="0.2">
      <c r="A3" t="s">
        <v>63</v>
      </c>
      <c r="B3" t="s">
        <v>64</v>
      </c>
      <c r="C3" t="s">
        <v>65</v>
      </c>
      <c r="D3" t="s">
        <v>66</v>
      </c>
      <c r="E3" t="s">
        <v>67</v>
      </c>
    </row>
    <row r="4" spans="1:5" x14ac:dyDescent="0.2">
      <c r="A4" t="s">
        <v>68</v>
      </c>
      <c r="B4">
        <v>750</v>
      </c>
      <c r="C4">
        <v>525</v>
      </c>
      <c r="D4">
        <v>525</v>
      </c>
      <c r="E4">
        <v>450</v>
      </c>
    </row>
    <row r="5" spans="1:5" x14ac:dyDescent="0.2">
      <c r="A5" t="s">
        <v>69</v>
      </c>
      <c r="C5">
        <v>750</v>
      </c>
      <c r="D5">
        <v>525</v>
      </c>
      <c r="E5">
        <v>525</v>
      </c>
    </row>
    <row r="6" spans="1:5" x14ac:dyDescent="0.2">
      <c r="A6" t="s">
        <v>70</v>
      </c>
      <c r="D6">
        <v>750</v>
      </c>
      <c r="E6">
        <v>750</v>
      </c>
    </row>
    <row r="7" spans="1:5" x14ac:dyDescent="0.2">
      <c r="A7" t="s">
        <v>71</v>
      </c>
      <c r="E7">
        <v>750</v>
      </c>
    </row>
    <row r="10" spans="1:5" x14ac:dyDescent="0.2">
      <c r="A10" t="s">
        <v>72</v>
      </c>
    </row>
    <row r="11" spans="1:5" x14ac:dyDescent="0.2">
      <c r="B11" t="s">
        <v>64</v>
      </c>
      <c r="C11" t="s">
        <v>65</v>
      </c>
      <c r="D11" t="s">
        <v>66</v>
      </c>
      <c r="E11" t="s">
        <v>67</v>
      </c>
    </row>
    <row r="12" spans="1:5" x14ac:dyDescent="0.2">
      <c r="A12" t="s">
        <v>68</v>
      </c>
      <c r="B12">
        <f>B4</f>
        <v>750</v>
      </c>
      <c r="D12">
        <v>0</v>
      </c>
      <c r="E12">
        <v>0</v>
      </c>
    </row>
    <row r="13" spans="1:5" x14ac:dyDescent="0.2">
      <c r="A13" t="s">
        <v>69</v>
      </c>
      <c r="B13">
        <v>0</v>
      </c>
      <c r="C13">
        <f>C5</f>
        <v>750</v>
      </c>
      <c r="D13">
        <v>0</v>
      </c>
      <c r="E13">
        <v>0</v>
      </c>
    </row>
    <row r="14" spans="1:5" x14ac:dyDescent="0.2">
      <c r="A14" t="s">
        <v>70</v>
      </c>
      <c r="B14">
        <v>0</v>
      </c>
      <c r="C14">
        <v>0</v>
      </c>
      <c r="D14">
        <f>D6</f>
        <v>750</v>
      </c>
      <c r="E14">
        <v>0</v>
      </c>
    </row>
    <row r="15" spans="1:5" x14ac:dyDescent="0.2">
      <c r="A15" t="s">
        <v>71</v>
      </c>
      <c r="B15">
        <v>0</v>
      </c>
      <c r="C15">
        <v>0</v>
      </c>
      <c r="D15">
        <v>0</v>
      </c>
      <c r="E15">
        <f>E7</f>
        <v>750</v>
      </c>
    </row>
    <row r="20" spans="1:2" x14ac:dyDescent="0.2">
      <c r="A20" t="s">
        <v>73</v>
      </c>
      <c r="B20">
        <f>SUM(B12,C13,D14,E15)</f>
        <v>3000</v>
      </c>
    </row>
    <row r="22" spans="1:2" x14ac:dyDescent="0.2">
      <c r="A2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Q3_Sensitivity</vt:lpstr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 Krishna Reddy Katkuri</cp:lastModifiedBy>
  <dcterms:created xsi:type="dcterms:W3CDTF">2025-11-07T07:15:51Z</dcterms:created>
  <dcterms:modified xsi:type="dcterms:W3CDTF">2025-11-08T07:26:34Z</dcterms:modified>
</cp:coreProperties>
</file>